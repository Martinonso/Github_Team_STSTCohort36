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Case" sheetId="1" r:id="rId5"/>
  </sheets>
  <definedNames/>
  <calcPr/>
</workbook>
</file>

<file path=xl/sharedStrings.xml><?xml version="1.0" encoding="utf-8"?>
<sst xmlns="http://schemas.openxmlformats.org/spreadsheetml/2006/main" count="442" uniqueCount="180">
  <si>
    <t>CHOWDECK STORE NAVIGATION FEATURE</t>
  </si>
  <si>
    <t>FOOD ORDERING FEATURE</t>
  </si>
  <si>
    <t>TRACK FOOD DELIVERY FEATURE</t>
  </si>
  <si>
    <t>Microsoft Edge</t>
  </si>
  <si>
    <t>Cycle 1</t>
  </si>
  <si>
    <t>Google Chrome</t>
  </si>
  <si>
    <t>Mozilla Firefox</t>
  </si>
  <si>
    <t>Mozilla Forefox</t>
  </si>
  <si>
    <t>Total Test Cases</t>
  </si>
  <si>
    <t>Passed</t>
  </si>
  <si>
    <t>Failed</t>
  </si>
  <si>
    <t>Not Executed</t>
  </si>
  <si>
    <t>Microsoft Edge Version 146.0.3856.84 (Official build) (64-bit)</t>
  </si>
  <si>
    <t>Google Chrome Browser Version 146.0.7680.178 (Official Build) (64-bit)</t>
  </si>
  <si>
    <t>Mozilla Firefox 149.0 (64-bit)</t>
  </si>
  <si>
    <t>Test Sulle ID</t>
  </si>
  <si>
    <t>TestCase ID</t>
  </si>
  <si>
    <t>Test Description</t>
  </si>
  <si>
    <t>Test Steps</t>
  </si>
  <si>
    <t>Test Data</t>
  </si>
  <si>
    <t>Expected Results</t>
  </si>
  <si>
    <t>Actual Resuts</t>
  </si>
  <si>
    <t>Cydie1</t>
  </si>
  <si>
    <t xml:space="preserve">Comments </t>
  </si>
  <si>
    <t>Created By</t>
  </si>
  <si>
    <t>Date Created</t>
  </si>
  <si>
    <t>Feature Name: Shop For Food (NAVIGATION)</t>
  </si>
  <si>
    <t>SFF_01</t>
  </si>
  <si>
    <t>SFF_TC_01</t>
  </si>
  <si>
    <t>Verify store page loads</t>
  </si>
  <si>
    <t xml:space="preserve">- Visit the chowdeck store url
- click on the login button
- Enter your phone number on the phone number box
- Enter the opt send to your phone on the box provided
- Enter your address on the select address box
</t>
  </si>
  <si>
    <t>- chowdeck url https://chowdeck.com/store
- Valid Phone number 08065219030
- Valid delivery address: 2 Unity Road, Ajah</t>
  </si>
  <si>
    <t>Store page should load successfully</t>
  </si>
  <si>
    <t>Store page opens</t>
  </si>
  <si>
    <t>None</t>
  </si>
  <si>
    <t>Martin Ikpe</t>
  </si>
  <si>
    <t>SFF_TC_02</t>
  </si>
  <si>
    <t>Verify user can view different food vendors</t>
  </si>
  <si>
    <t xml:space="preserve">- Visit the chowdeck store url
- click on the login button
- Enter your phone number on the phone number box
- Enter the opt send to your phone on the box provided
- Enter your address on the select address box
- The list of food vendors will be displayed with the ones within your locality at the top other at the bottom
</t>
  </si>
  <si>
    <t>User should be able to view available food vendors</t>
  </si>
  <si>
    <t>The list of available food vendors is displayed</t>
  </si>
  <si>
    <t>SFF_TC_03</t>
  </si>
  <si>
    <t>Verify user can select a food vendor</t>
  </si>
  <si>
    <t>- Visit the chowdeck store url
- click on the login button
- Enter your phone number on the phone number box
- Enter the opt send to your phone on the box provided
- Enter your address on the select address box
- The list of food vendors will be displayed with the ones within your locality at the top other at the bottom
- Click on the favorite food vendor</t>
  </si>
  <si>
    <t>User should be able to click and view a food vendor's details</t>
  </si>
  <si>
    <t>Food vendor's details page opens</t>
  </si>
  <si>
    <t>SFF_TC_04</t>
  </si>
  <si>
    <t>Verify user can view different food items on the selected vendor page</t>
  </si>
  <si>
    <t>The list of available food items is displayed on the selected vendor page</t>
  </si>
  <si>
    <t>SFF_TC_05</t>
  </si>
  <si>
    <t>Verify search functionality</t>
  </si>
  <si>
    <t xml:space="preserve">"- Visit the chowdeck store url
- click on the login button
- Enter your phone number on the phone number box
- Enter the opt send to your phone on the box provided
- Enter your address on the select address box
- The list of food vendors will be displayed with the ones within your locality at the top other at the bottom
-  click on the search box and enter food vendor name or food name and press enter
</t>
  </si>
  <si>
    <t>Matching results should display</t>
  </si>
  <si>
    <t>Results displayed</t>
  </si>
  <si>
    <t>SFF_TC_06</t>
  </si>
  <si>
    <t>Verify invalid search</t>
  </si>
  <si>
    <t xml:space="preserve">"- Visit the chowdeck store url
- click on the login button
- Enter your phone number on the phone number box
- Enter the opt send to your phone on the box provided
- Enter your address on the select address box
- The list of food vendors will be displayed with the ones within your locality at the top other at the bottom
-  click on the search box and enter random text and press enter
</t>
  </si>
  <si>
    <t>"No Result Found" message should display</t>
  </si>
  <si>
    <t>Message "No Result Found"</t>
  </si>
  <si>
    <t>SFF_TC_07</t>
  </si>
  <si>
    <t>Verify Page Scroll</t>
  </si>
  <si>
    <t xml:space="preserve">"- Visit the chowdeck store url
- click on the login button
- Enter your phone number on the phone number box
- Enter the opt send to your phone on the box provided
- Enter your address on the select address box
- The list of food vendors will be displayed with the ones within your locality at the top other at the bottom
-  Scroll down the store page with scrilling bar
</t>
  </si>
  <si>
    <t>More items should load/display</t>
  </si>
  <si>
    <t>More vendors and food items display</t>
  </si>
  <si>
    <t>SFF_TC_08</t>
  </si>
  <si>
    <t>Verify navigation menu</t>
  </si>
  <si>
    <t xml:space="preserve">"- Visit the chowdeck store url
- click on the login button
- Enter your phone number on the phone number box
- Enter the opt send to your phone on the box provided
- Enter your address on the select address box
- The list of food vendors will be displayed with the ones within your locality at the top other at the bottom
-  click each of the navigation menu
</t>
  </si>
  <si>
    <t>Correct pages shouls open with its categories</t>
  </si>
  <si>
    <t>Menu pages opened with its categories</t>
  </si>
  <si>
    <t>SFF_TC_09</t>
  </si>
  <si>
    <t>Verify Homepage redirect</t>
  </si>
  <si>
    <t xml:space="preserve">"- Visit the chowdeck store url
- click on the login button
- Enter your phone number on the phone number box
- Enter the opt send to your phone on the box provided
- Enter your address on the select address box
- The list of food vendors will be displayed with the ones within your locality at the top other at the bottom
-  click on the icon/chowdeck name
</t>
  </si>
  <si>
    <t>It should redirect to the homepage</t>
  </si>
  <si>
    <t>Redirected to the homepage</t>
  </si>
  <si>
    <t>SFF_TC_10</t>
  </si>
  <si>
    <t>Verify Filters</t>
  </si>
  <si>
    <t xml:space="preserve">"- Visit the chowdeck store url
- click on the login button
- Enter your phone number on the phone number box
- Enter the opt send to your phone on the box provided
- Enter your address on the select address box
- The list of food vendors will be displayed with the ones within your locality at the top other at the bottom
-  click on filters and select an option
</t>
  </si>
  <si>
    <t>Filter result should shiw and be selectable</t>
  </si>
  <si>
    <t>Filter results displayed and was selectable</t>
  </si>
  <si>
    <t>SFF_TC_11</t>
  </si>
  <si>
    <t>Verify menu and filter placement</t>
  </si>
  <si>
    <t xml:space="preserve">"- Visit the chowdeck store url
- click on the login button
- Enter your phone number on the phone number box
- Enter the opt send to your phone on the box provided
- Enter your address on the select address box
- The list of food vendors will be displayed with the ones within your locality at the top other at the bottom
-  check the positioning of the menu and the filters
</t>
  </si>
  <si>
    <t>Menu and filters should well positions</t>
  </si>
  <si>
    <t>Filters not well positions</t>
  </si>
  <si>
    <t>Feature Name: Food Ordering</t>
  </si>
  <si>
    <t>TFD_01</t>
  </si>
  <si>
    <t>TFD_TC_01</t>
  </si>
  <si>
    <t>Verify user can select a food item</t>
  </si>
  <si>
    <t>- Visit the chowdeck store url
- click on the login button
- Enter your phone number on the phone number box
- Enter the opt send to your phone on the box provided
- Enter your address on the select address box
- The list of food vendors will be displayed with the ones within your locality at the top other at the bottom
- Click on the favorite food vendor
- Click on the favorite food item</t>
  </si>
  <si>
    <t>User should be able to click and view a food item</t>
  </si>
  <si>
    <t>Food details page opens</t>
  </si>
  <si>
    <t>TFD_TC_02</t>
  </si>
  <si>
    <t>Verify user can add an item to the cart</t>
  </si>
  <si>
    <t>- Visit the chowdeck store url
- click on the login button
- Enter your phone number on the phone number box
- Enter the opt send to your phone on the box provided
- Enter your address on the select address box
- The list of food vendors will be displayed with the ones within your locality at the top other at the bottom
- Click on the favorite food vendor
- Click on the favorite food item
- Select the required items
- click on add to cart</t>
  </si>
  <si>
    <t>User should be able to add food items to cart</t>
  </si>
  <si>
    <t>Item is added to cart</t>
  </si>
  <si>
    <t>TFD_TC_03</t>
  </si>
  <si>
    <t>Verify cart updates correctly</t>
  </si>
  <si>
    <t>- Visit the chowdeck store url
- click on the login button
- Enter your phone number on the phone number box
- Enter the opt send to your phone on the box provided
- Enter your address on the select address box
- The list of food vendors will be displayed with the ones within your locality at the top other at the bottom
- Click on the favorite food vendor
- Click on the favorite food item
- Select the required items
- click on add to cart
- click on cart</t>
  </si>
  <si>
    <t>Cart should reflect the added items</t>
  </si>
  <si>
    <t>Correct item and quantity displayed</t>
  </si>
  <si>
    <t>TFD_TC_04</t>
  </si>
  <si>
    <t>Verify user can increase quantity</t>
  </si>
  <si>
    <t>- Visit the chowdeck store url
- click on the login button
- Enter your phone number on the phone number box
- Enter the opt send to your phone on the box provided
- Enter your address on the select address box
- The list of food vendors will be displayed with the ones within your locality at the top other at the bottom
- Click on the favorite food vendor
- Click on the favorite food item
- Select the required items
- click on add to cart
- click on cart
- click on duplicate pack</t>
  </si>
  <si>
    <t>User can increase the item quantity in the cart</t>
  </si>
  <si>
    <t>Quantity increases</t>
  </si>
  <si>
    <t>TFD_TC_05</t>
  </si>
  <si>
    <t>Verify user can decrease quantity</t>
  </si>
  <si>
    <t>- Visit the chowdeck store url
- click on the login button
- Enter your phone number on the phone number box
- Enter the opt send to your phone on the box provided
- Enter your address on the select address box
- The list of food vendors will be displayed with the ones within your locality at the top other at the bottom
- Click on the favorite food vendor
- Click on the favorite food item
- Select the required items
- click on add to cart
- click on cart
- click on delete button beside the second pack</t>
  </si>
  <si>
    <t>User can reduce item quantity</t>
  </si>
  <si>
    <t>Quantity decreases</t>
  </si>
  <si>
    <t>TFD_TC_06</t>
  </si>
  <si>
    <t>Verify user can remove item from cart</t>
  </si>
  <si>
    <t>- Visit the chowdeck store url
- click on the login button
- Enter your phone number on the phone number box
- Enter the opt send to your phone on the box provided
- Enter your address on the select address box
- The list of food vendors will be displayed with the ones within your locality at the top other at the bottom
- Click on the favorite food vendor
- Click on the favorite food item
- Select the required items
- click on add to cart
- click on cart
- click on delete button beside the pack</t>
  </si>
  <si>
    <t>User should be able to remove item</t>
  </si>
  <si>
    <t>Item is removed</t>
  </si>
  <si>
    <t>TFD_TC_07</t>
  </si>
  <si>
    <t>Verify checkout button works</t>
  </si>
  <si>
    <t>- Visit the chowdeck store url
- click on the login button
- Enter your phone number on the phone number box
- Enter the opt send to your phone on the box provided
- Enter your address on the select address box
- The list of food vendors will be displayed with the ones within your locality at the top other at the bottom
- Click on the favorite food vendor
- Click on the favorite food item
- Select the required items
- click on add to cart
- click on cart
- click on continue to checkout</t>
  </si>
  <si>
    <t>User should proceed to checkout</t>
  </si>
  <si>
    <t>Checkout page loads</t>
  </si>
  <si>
    <t>TFD_TC_08</t>
  </si>
  <si>
    <t>verify user cannot place an order on "out of stock" food items</t>
  </si>
  <si>
    <t>- Visit the chowdeck store url
- click on the login button
- Enter your phone number on the phone number box
- Enter the opt send to your phone on the box provided
- Enter your address on the select address box
- The list of food vendors will be displayed with the ones within your locality at the top other at the bottom
- Click on the favorite food vendor
- Click on the "out of stock" food item</t>
  </si>
  <si>
    <t>User should not be able to place an order on "out of stock" items</t>
  </si>
  <si>
    <t>nothing happens</t>
  </si>
  <si>
    <t>TFD_TC_09</t>
  </si>
  <si>
    <t>Verify order cannot proceed with empty cart</t>
  </si>
  <si>
    <t>- Visit the chowdeck store url
- click on the login button
- Enter your phone number on the phone number box
- Enter the opt send to your phone on the box provided
- Enter your address on the select address box
- The list of food vendors will be displayed with the ones within your locality at the top other at the bottom
- Click on the favorite food vendor
- Click on cart</t>
  </si>
  <si>
    <t xml:space="preserve">The system should prevent empty checkout
</t>
  </si>
  <si>
    <t>message "Cart empty" displayed</t>
  </si>
  <si>
    <t>TFD_TC_10</t>
  </si>
  <si>
    <t>verify user cannot place an order outside the vendor's working hours</t>
  </si>
  <si>
    <t>- Visit the chowdeck store url
- click on the login button
- Enter your phone number on the phone number box
- Enter the opt send to your phone on the box provided
- Enter your address on the select address box
- The list of food vendors will be displayed with the ones within your locality at the top other at the bottom
- Click on the favorite food vendor
- Click on the favorite food item outside the vendor's working hours</t>
  </si>
  <si>
    <t>User should not be able to place an order outside the vendor's working hours</t>
  </si>
  <si>
    <t>Got an error message "vendor is closed"</t>
  </si>
  <si>
    <t>TFD_TC_11</t>
  </si>
  <si>
    <t>Verify total price calculation</t>
  </si>
  <si>
    <t>- Visit the chowdeck store url
- click on the login button
- Enter your phone number on the phone number box
- Enter the opt send to your phone on the box provided
- Enter your address on the select address box
- The list of food vendors will be displayed with the ones within your locality at the top other at the bottom
- Click on the favorite food vendor
- Click on the favorite food item
- Select the required items
- add multiple items
- check total
- click on add to cart</t>
  </si>
  <si>
    <t>Total price should be accurate</t>
  </si>
  <si>
    <t>Limted Time</t>
  </si>
  <si>
    <t>TFD_TC_12</t>
  </si>
  <si>
    <t>Verify order was successfully placed</t>
  </si>
  <si>
    <t>- Visit the chowdeck store url
- click on the login button
- Enter your phone number on the phone number box
- Enter the opt send to your phone on the box provided
- Enter your address on the select address box
- The list of food vendors will be displayed with the ones within your locality at the top other at the bottom
- Click on the favorite food vendor
- Click on the favorite food item
- Select the required items
- add multiple items
- check total
- click on add to cart
- click on continue to checkout
- click pay online
- card or Bank Transfer
- click on place order button
- add your card details or transfer to the account number provide
- click on the payment confirmation button</t>
  </si>
  <si>
    <t>- chowdeck url https://chowdeck.com/store
- Valid Phone number 08065219030
- Valid delivery address: 2 Unity Road, Ajah
- valid Debit Card/Bank account</t>
  </si>
  <si>
    <t>User should get a message order successfully place with email notification containing the order ID</t>
  </si>
  <si>
    <t>I did not add my Debit card, there fore no order was placed</t>
  </si>
  <si>
    <t>TFD_TC_13</t>
  </si>
  <si>
    <t>Verify order page scroll</t>
  </si>
  <si>
    <t>- Visit the chowdeck store url
- click on the login button
- Enter your phone number on the phone number box
- Enter the opt send to your phone on the box provided
- Enter your address on the select address box
- The list of food vendors will be displayed with the ones within your locality at the top other at the bottom
- Click on the favorite food vendor
- Click on the favorite food item
- Select the required items
- add multiple items
- check total
- click on add to cart
- click on continue to checkout
- click pay online
- card or Bank Transfer
- click on place order button
- scroll to see the hidden information</t>
  </si>
  <si>
    <t>More information should load/display</t>
  </si>
  <si>
    <t>informations hidden, no scrolling bar</t>
  </si>
  <si>
    <t>No scrolling bar and some items were hidden, user will need to zoom out the browser to be able to see the hidden information</t>
  </si>
  <si>
    <t>Feature Name: Track Food Delivery</t>
  </si>
  <si>
    <t>Verify tracking page access</t>
  </si>
  <si>
    <t>- Visit the chowdeck store url
- click on the login button
- Enter your phone number on the phone number box
- Enter the opt send to your phone on the box provided
- Enter your address on the select address box
- The list of food vendors will be displayed with the ones within your locality at the top other at the bottom
- Click on profile icon
- Click on order history
- Select the current order</t>
  </si>
  <si>
    <t>- chowdeck url https://chowdeck.com/store
- Valid Phone number 08065219030
- Valid delivery address: 2 Unity Road, Ajah
- Valid order ID</t>
  </si>
  <si>
    <t xml:space="preserve">Current status should show
</t>
  </si>
  <si>
    <t>Status showed no history</t>
  </si>
  <si>
    <t>passed</t>
  </si>
  <si>
    <t>Verify order status display</t>
  </si>
  <si>
    <t>Current order  status shown</t>
  </si>
  <si>
    <t>Verify real-time updates</t>
  </si>
  <si>
    <t>Updated delivery status should show</t>
  </si>
  <si>
    <t>Verify map tracking</t>
  </si>
  <si>
    <t>Delivery location should display</t>
  </si>
  <si>
    <t>Verify estimated delivery time</t>
  </si>
  <si>
    <t>ETA should be displayed</t>
  </si>
  <si>
    <t>Verify invalid tracking</t>
  </si>
  <si>
    <t>Error message should appear</t>
  </si>
  <si>
    <t>Verify notification updates</t>
  </si>
  <si>
    <t>Status notifications should be received</t>
  </si>
  <si>
    <t>Verify delivery completion</t>
  </si>
  <si>
    <t>Status should show “Delivered”</t>
  </si>
  <si>
    <t>Verify refresh functionality</t>
  </si>
  <si>
    <t>- Visit the chowdeck store url
- click on the login button
- Enter your phone number on the phone number box
- Enter the opt send to your phone on the box provided
- Enter your address on the select address box
- The list of food vendors will be displayed with the ones within your locality at the top other at the bottom
- Click on the profile icon
- Click on order history
- Select the current order
- Refresh the tracking page</t>
  </si>
  <si>
    <t>No errors shold occur</t>
  </si>
  <si>
    <t>Verify multiple orders tracking</t>
  </si>
  <si>
    <t>- Visit the chowdeck store url
- click on the login button
- Enter your phone number on the phone number box
- Enter the opt send to your phone on the box provided
- Enter your address on the select address box
- The list of food vendors will be displayed with the ones within your locality at the top other at the bottom
- Click on the profile icon
- Click on order history
- Select the current order
- place another order and track the order also</t>
  </si>
  <si>
    <t>Correct details per order should appear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</si>
</sst>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b/>
      <color theme="0"/>
      <name val="Arial"/>
      <scheme val="minor"/>
    </font>
    <font>
      <b/>
      <sz val="11.0"/>
      <color theme="0"/>
      <name val="Arial"/>
      <scheme val="minor"/>
    </font>
    <font>
      <b/>
      <sz val="11.0"/>
      <color theme="1"/>
      <name val="Arial"/>
      <scheme val="minor"/>
    </font>
    <font>
      <color theme="7"/>
      <name val="Arial"/>
      <scheme val="minor"/>
    </font>
    <font>
      <color rgb="FFFFFFFF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  <fill>
      <patternFill patternType="solid">
        <fgColor rgb="FF000000"/>
        <bgColor rgb="FF000000"/>
      </patternFill>
    </fill>
    <fill>
      <patternFill patternType="solid">
        <fgColor rgb="FF38761D"/>
        <bgColor rgb="FF38761D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2" fontId="2" numFmtId="0" xfId="0" applyAlignment="1" applyFill="1" applyFont="1">
      <alignment horizontal="center" readingOrder="0" shrinkToFit="0" vertical="top" wrapText="1"/>
    </xf>
    <xf borderId="0" fillId="3" fontId="2" numFmtId="0" xfId="0" applyAlignment="1" applyFill="1" applyFont="1">
      <alignment horizontal="center"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4" fontId="4" numFmtId="0" xfId="0" applyAlignment="1" applyFill="1" applyFont="1">
      <alignment horizontal="center"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4" fontId="4" numFmtId="0" xfId="0" applyAlignment="1" applyFont="1">
      <alignment readingOrder="0" shrinkToFit="0" vertical="top" wrapText="1"/>
    </xf>
    <xf borderId="0" fillId="0" fontId="3" numFmtId="0" xfId="0" applyAlignment="1" applyFont="1">
      <alignment horizontal="center" shrinkToFit="0" vertical="top" wrapText="1"/>
    </xf>
    <xf borderId="0" fillId="5" fontId="4" numFmtId="0" xfId="0" applyAlignment="1" applyFill="1" applyFont="1">
      <alignment readingOrder="0" shrinkToFit="0" vertical="top" wrapText="1"/>
    </xf>
    <xf borderId="0" fillId="0" fontId="3" numFmtId="0" xfId="0" applyAlignment="1" applyFont="1">
      <alignment horizontal="center" readingOrder="0" shrinkToFit="0" vertical="top" wrapText="1"/>
    </xf>
    <xf borderId="0" fillId="6" fontId="4" numFmtId="0" xfId="0" applyAlignment="1" applyFill="1" applyFont="1">
      <alignment readingOrder="0" shrinkToFit="0" vertical="top" wrapText="1"/>
    </xf>
    <xf borderId="0" fillId="7" fontId="3" numFmtId="0" xfId="0" applyAlignment="1" applyFill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8" fontId="5" numFmtId="0" xfId="0" applyAlignment="1" applyFill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2" fontId="2" numFmtId="0" xfId="0" applyAlignment="1" applyFont="1">
      <alignment readingOrder="0" shrinkToFit="0" vertical="top" wrapText="0"/>
    </xf>
    <xf borderId="0" fillId="2" fontId="4" numFmtId="0" xfId="0" applyAlignment="1" applyFont="1">
      <alignment shrinkToFit="0" vertical="top" wrapText="1"/>
    </xf>
    <xf borderId="0" fillId="0" fontId="1" numFmtId="164" xfId="0" applyAlignment="1" applyFont="1" applyNumberFormat="1">
      <alignment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</cellXfs>
  <cellStyles count="1">
    <cellStyle xfId="0" name="Normal" builtinId="0"/>
  </cellStyles>
  <dxfs count="4">
    <dxf>
      <font>
        <color theme="5"/>
      </font>
      <fill>
        <patternFill patternType="solid">
          <fgColor theme="0"/>
          <bgColor theme="0"/>
        </patternFill>
      </fill>
      <border/>
    </dxf>
    <dxf>
      <font>
        <color theme="0"/>
      </font>
      <fill>
        <patternFill patternType="solid">
          <fgColor rgb="FF38761D"/>
          <bgColor rgb="FF38761D"/>
        </patternFill>
      </fill>
      <border/>
    </dxf>
    <dxf>
      <font>
        <color theme="0"/>
      </font>
      <fill>
        <patternFill patternType="solid">
          <fgColor theme="5"/>
          <bgColor theme="5"/>
        </patternFill>
      </fill>
      <border/>
    </dxf>
    <dxf>
      <font>
        <color rgb="FF000000"/>
      </font>
      <fill>
        <patternFill patternType="solid">
          <fgColor rgb="FFFBBC04"/>
          <bgColor rgb="FFFBBC0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chemeClr val="dk1"/>
                </a:solidFill>
                <a:latin typeface="+mn-lt"/>
              </a:defRPr>
            </a:pPr>
            <a:r>
              <a:rPr b="0" sz="1400">
                <a:solidFill>
                  <a:schemeClr val="dk1"/>
                </a:solidFill>
                <a:latin typeface="+mn-lt"/>
              </a:rPr>
              <a:t>Microsoft Edge Case Report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FFF00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val>
            <c:numRef>
              <c:f>Test_Case!$B$5:$B$7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l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chemeClr val="dk1"/>
                </a:solidFill>
                <a:latin typeface="+mn-lt"/>
              </a:defRPr>
            </a:pPr>
            <a:r>
              <a:rPr b="0" sz="1400">
                <a:solidFill>
                  <a:schemeClr val="dk1"/>
                </a:solidFill>
                <a:latin typeface="+mn-lt"/>
              </a:rPr>
              <a:t>Google Chrome Case Report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FFF00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val>
            <c:numRef>
              <c:f>Test_Case!$D$5:$D$7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l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chemeClr val="dk1"/>
                </a:solidFill>
                <a:latin typeface="+mn-lt"/>
              </a:defRPr>
            </a:pPr>
            <a:r>
              <a:rPr b="0" sz="1400">
                <a:solidFill>
                  <a:schemeClr val="dk1"/>
                </a:solidFill>
                <a:latin typeface="+mn-lt"/>
              </a:rPr>
              <a:t>Mozilla Firefox Case Report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FFF00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val>
            <c:numRef>
              <c:f>Test_Case!$F$5:$F$7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l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chemeClr val="dk1"/>
                </a:solidFill>
                <a:latin typeface="+mn-lt"/>
              </a:defRPr>
            </a:pPr>
            <a:r>
              <a:rPr b="0" sz="1400">
                <a:solidFill>
                  <a:schemeClr val="dk1"/>
                </a:solidFill>
                <a:latin typeface="+mn-lt"/>
              </a:rPr>
              <a:t>Microsoft Edge Case Report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FFF00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val>
            <c:numRef>
              <c:f>Test_Case!$H$5:$H$7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l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chemeClr val="dk1"/>
                </a:solidFill>
                <a:latin typeface="+mn-lt"/>
              </a:defRPr>
            </a:pPr>
            <a:r>
              <a:rPr b="0" sz="1400">
                <a:solidFill>
                  <a:schemeClr val="dk1"/>
                </a:solidFill>
                <a:latin typeface="+mn-lt"/>
              </a:rPr>
              <a:t>Google Chrome Case Report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FFF00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val>
            <c:numRef>
              <c:f>Test_Case!$J$5:$J$7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l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chemeClr val="dk1"/>
                </a:solidFill>
                <a:latin typeface="+mn-lt"/>
              </a:defRPr>
            </a:pPr>
            <a:r>
              <a:rPr b="0" sz="1400">
                <a:solidFill>
                  <a:schemeClr val="dk1"/>
                </a:solidFill>
                <a:latin typeface="+mn-lt"/>
              </a:rPr>
              <a:t>Mozilla Firefox Case Report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FFF00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val>
            <c:numRef>
              <c:f>Test_Case!$L$5:$L$7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l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chemeClr val="dk1"/>
                </a:solidFill>
                <a:latin typeface="+mn-lt"/>
              </a:defRPr>
            </a:pPr>
            <a:r>
              <a:rPr b="0" sz="1400">
                <a:solidFill>
                  <a:schemeClr val="dk1"/>
                </a:solidFill>
                <a:latin typeface="+mn-lt"/>
              </a:rPr>
              <a:t>Microsoft Edge Case Report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FFF00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val>
            <c:numRef>
              <c:f>Test_Case!$N$5:$N$7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l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chemeClr val="dk1"/>
                </a:solidFill>
                <a:latin typeface="+mn-lt"/>
              </a:defRPr>
            </a:pPr>
            <a:r>
              <a:rPr b="0" sz="1400">
                <a:solidFill>
                  <a:schemeClr val="dk1"/>
                </a:solidFill>
                <a:latin typeface="+mn-lt"/>
              </a:rPr>
              <a:t>Google Chrome Case Report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FFF00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val>
            <c:numRef>
              <c:f>Test_Case!$P$5:$P$7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l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chemeClr val="dk1"/>
                </a:solidFill>
                <a:latin typeface="+mn-lt"/>
              </a:defRPr>
            </a:pPr>
            <a:r>
              <a:rPr b="0" sz="1400">
                <a:solidFill>
                  <a:schemeClr val="dk1"/>
                </a:solidFill>
                <a:latin typeface="+mn-lt"/>
              </a:rPr>
              <a:t>Mozilla Firefox Case Report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FFF00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val>
            <c:numRef>
              <c:f>Test_Case!$R$5:$R$7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l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190500</xdr:rowOff>
    </xdr:from>
    <xdr:ext cx="2057400" cy="19240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9525</xdr:colOff>
      <xdr:row>6</xdr:row>
      <xdr:rowOff>190500</xdr:rowOff>
    </xdr:from>
    <xdr:ext cx="5324475" cy="23812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9525</xdr:colOff>
      <xdr:row>6</xdr:row>
      <xdr:rowOff>190500</xdr:rowOff>
    </xdr:from>
    <xdr:ext cx="3752850" cy="23241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1219200</xdr:colOff>
      <xdr:row>6</xdr:row>
      <xdr:rowOff>190500</xdr:rowOff>
    </xdr:from>
    <xdr:ext cx="2305050" cy="16192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1047750</xdr:colOff>
      <xdr:row>6</xdr:row>
      <xdr:rowOff>200025</xdr:rowOff>
    </xdr:from>
    <xdr:ext cx="2057400" cy="15906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942975</xdr:colOff>
      <xdr:row>7</xdr:row>
      <xdr:rowOff>19050</xdr:rowOff>
    </xdr:from>
    <xdr:ext cx="2171700" cy="15906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12</xdr:col>
      <xdr:colOff>9525</xdr:colOff>
      <xdr:row>7</xdr:row>
      <xdr:rowOff>19050</xdr:rowOff>
    </xdr:from>
    <xdr:ext cx="2057400" cy="15906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14</xdr:col>
      <xdr:colOff>0</xdr:colOff>
      <xdr:row>7</xdr:row>
      <xdr:rowOff>19050</xdr:rowOff>
    </xdr:from>
    <xdr:ext cx="2124075" cy="15906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16</xdr:col>
      <xdr:colOff>9525</xdr:colOff>
      <xdr:row>7</xdr:row>
      <xdr:rowOff>9525</xdr:rowOff>
    </xdr:from>
    <xdr:ext cx="2057400" cy="15906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19.88"/>
    <col customWidth="1" min="4" max="4" width="50.0"/>
    <col customWidth="1" min="5" max="5" width="33.38"/>
    <col customWidth="1" min="6" max="7" width="16.25"/>
    <col customWidth="1" min="8" max="8" width="14.0"/>
    <col customWidth="1" min="9" max="9" width="14.38"/>
    <col customWidth="1" min="11" max="11" width="15.5"/>
    <col customWidth="1" min="13" max="13" width="14.5"/>
    <col customWidth="1" min="15" max="15" width="15.75"/>
    <col customWidth="1" min="17" max="17" width="15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G2" s="3" t="s">
        <v>1</v>
      </c>
      <c r="M2" s="2" t="s">
        <v>2</v>
      </c>
      <c r="S2" s="1"/>
      <c r="T2" s="1"/>
      <c r="U2" s="1"/>
      <c r="V2" s="1"/>
      <c r="W2" s="1"/>
      <c r="X2" s="1"/>
      <c r="Y2" s="1"/>
      <c r="Z2" s="1"/>
    </row>
    <row r="3">
      <c r="A3" s="4" t="s">
        <v>3</v>
      </c>
      <c r="B3" s="5" t="s">
        <v>4</v>
      </c>
      <c r="C3" s="6" t="s">
        <v>5</v>
      </c>
      <c r="D3" s="5" t="s">
        <v>4</v>
      </c>
      <c r="E3" s="6" t="s">
        <v>6</v>
      </c>
      <c r="F3" s="5" t="s">
        <v>4</v>
      </c>
      <c r="G3" s="6" t="s">
        <v>3</v>
      </c>
      <c r="H3" s="5" t="s">
        <v>4</v>
      </c>
      <c r="I3" s="6" t="s">
        <v>5</v>
      </c>
      <c r="J3" s="5" t="s">
        <v>4</v>
      </c>
      <c r="K3" s="6" t="s">
        <v>7</v>
      </c>
      <c r="L3" s="5" t="s">
        <v>4</v>
      </c>
      <c r="M3" s="6" t="s">
        <v>3</v>
      </c>
      <c r="N3" s="5" t="s">
        <v>4</v>
      </c>
      <c r="O3" s="6" t="s">
        <v>5</v>
      </c>
      <c r="P3" s="5" t="s">
        <v>4</v>
      </c>
      <c r="Q3" s="6" t="s">
        <v>6</v>
      </c>
      <c r="R3" s="5" t="s">
        <v>4</v>
      </c>
      <c r="S3" s="1"/>
      <c r="T3" s="1"/>
      <c r="U3" s="1"/>
      <c r="V3" s="1"/>
      <c r="W3" s="1"/>
      <c r="X3" s="1"/>
      <c r="Y3" s="1"/>
      <c r="Z3" s="1"/>
    </row>
    <row r="4">
      <c r="A4" s="7" t="s">
        <v>8</v>
      </c>
      <c r="B4" s="8">
        <f>counta(B19:B29)</f>
        <v>11</v>
      </c>
      <c r="C4" s="7" t="s">
        <v>8</v>
      </c>
      <c r="D4" s="8">
        <f>counta(B19:B29)</f>
        <v>11</v>
      </c>
      <c r="E4" s="7" t="s">
        <v>8</v>
      </c>
      <c r="F4" s="8">
        <f>counta(B19:B29)</f>
        <v>11</v>
      </c>
      <c r="G4" s="7" t="s">
        <v>8</v>
      </c>
      <c r="H4" s="8">
        <f>counta(B31:B43)</f>
        <v>13</v>
      </c>
      <c r="I4" s="7" t="s">
        <v>8</v>
      </c>
      <c r="J4" s="8">
        <f>counta(B31:B43)</f>
        <v>13</v>
      </c>
      <c r="K4" s="7" t="s">
        <v>8</v>
      </c>
      <c r="L4" s="8">
        <f>counta(B31:B43)</f>
        <v>13</v>
      </c>
      <c r="M4" s="7" t="s">
        <v>8</v>
      </c>
      <c r="N4" s="8">
        <f>counta(B45:B54)</f>
        <v>10</v>
      </c>
      <c r="O4" s="7" t="s">
        <v>8</v>
      </c>
      <c r="P4" s="8">
        <f>counta(B45:B54)</f>
        <v>10</v>
      </c>
      <c r="Q4" s="7" t="s">
        <v>8</v>
      </c>
      <c r="R4" s="8">
        <f>counta(B45:B54)</f>
        <v>10</v>
      </c>
      <c r="S4" s="1"/>
      <c r="T4" s="1"/>
      <c r="U4" s="1"/>
      <c r="V4" s="1"/>
      <c r="W4" s="1"/>
      <c r="X4" s="1"/>
      <c r="Y4" s="1"/>
      <c r="Z4" s="1"/>
    </row>
    <row r="5">
      <c r="A5" s="9" t="s">
        <v>9</v>
      </c>
      <c r="B5" s="10">
        <f>countif(H19:H29,"Passed")</f>
        <v>10</v>
      </c>
      <c r="C5" s="9" t="s">
        <v>9</v>
      </c>
      <c r="D5" s="10">
        <f>countif(J19:J29,"Passed")</f>
        <v>10</v>
      </c>
      <c r="E5" s="9" t="s">
        <v>9</v>
      </c>
      <c r="F5" s="10">
        <f>countif(I19:I29,"Passed")</f>
        <v>10</v>
      </c>
      <c r="G5" s="9" t="s">
        <v>9</v>
      </c>
      <c r="H5" s="10">
        <f>countif(H31:H43,"Passed")</f>
        <v>10</v>
      </c>
      <c r="I5" s="9" t="s">
        <v>9</v>
      </c>
      <c r="J5" s="10">
        <f>countif(I31:I43,"Passed")</f>
        <v>10</v>
      </c>
      <c r="K5" s="9" t="s">
        <v>9</v>
      </c>
      <c r="L5" s="10">
        <f>countif(J31:J43,"Passed")</f>
        <v>10</v>
      </c>
      <c r="M5" s="9" t="s">
        <v>9</v>
      </c>
      <c r="N5" s="10">
        <f>countif(H45:H54,"Passed")</f>
        <v>1</v>
      </c>
      <c r="O5" s="9" t="s">
        <v>9</v>
      </c>
      <c r="P5" s="10">
        <f>countif(I45:I54,"Passed")</f>
        <v>1</v>
      </c>
      <c r="Q5" s="9" t="s">
        <v>9</v>
      </c>
      <c r="R5" s="10">
        <f>countif(J45:J54,"Passed")</f>
        <v>1</v>
      </c>
      <c r="S5" s="1"/>
      <c r="T5" s="1"/>
      <c r="U5" s="1"/>
      <c r="V5" s="1"/>
      <c r="W5" s="1"/>
      <c r="X5" s="1"/>
      <c r="Y5" s="1"/>
      <c r="Z5" s="1"/>
    </row>
    <row r="6">
      <c r="A6" s="11" t="s">
        <v>10</v>
      </c>
      <c r="B6" s="10">
        <f>countif(H19:H29,"Failed")</f>
        <v>1</v>
      </c>
      <c r="C6" s="11" t="s">
        <v>10</v>
      </c>
      <c r="D6" s="10">
        <f>countif(J19:J29,"Failed")</f>
        <v>1</v>
      </c>
      <c r="E6" s="11" t="s">
        <v>10</v>
      </c>
      <c r="F6" s="10">
        <f>countif(I19:I29,"Failed")</f>
        <v>1</v>
      </c>
      <c r="G6" s="11" t="s">
        <v>10</v>
      </c>
      <c r="H6" s="10">
        <f>countif(H31:H43,"Failed")</f>
        <v>1</v>
      </c>
      <c r="I6" s="11" t="s">
        <v>10</v>
      </c>
      <c r="J6" s="10">
        <f>countif(I31:I43,"Failed")</f>
        <v>1</v>
      </c>
      <c r="K6" s="11" t="s">
        <v>10</v>
      </c>
      <c r="L6" s="10">
        <f>countif(J31:J43,"Failed")</f>
        <v>1</v>
      </c>
      <c r="M6" s="11" t="s">
        <v>10</v>
      </c>
      <c r="N6" s="10">
        <f>countif(H45:H54,"Failed")</f>
        <v>0</v>
      </c>
      <c r="O6" s="11" t="s">
        <v>10</v>
      </c>
      <c r="P6" s="10">
        <f>countif(I45:I54,"Failed")</f>
        <v>0</v>
      </c>
      <c r="Q6" s="11" t="s">
        <v>10</v>
      </c>
      <c r="R6" s="10">
        <f>countif(J45:J54,"Failed")</f>
        <v>0</v>
      </c>
      <c r="S6" s="1"/>
      <c r="T6" s="1"/>
      <c r="U6" s="1"/>
      <c r="V6" s="1"/>
      <c r="W6" s="1"/>
      <c r="X6" s="1"/>
      <c r="Y6" s="1"/>
      <c r="Z6" s="1"/>
    </row>
    <row r="7">
      <c r="A7" s="12" t="s">
        <v>11</v>
      </c>
      <c r="B7" s="10">
        <f>countif(H19:H29,"Not Executed")</f>
        <v>0</v>
      </c>
      <c r="C7" s="12" t="s">
        <v>11</v>
      </c>
      <c r="D7" s="10">
        <f>countif(J19:J29,"Not Executed")</f>
        <v>0</v>
      </c>
      <c r="E7" s="12" t="s">
        <v>11</v>
      </c>
      <c r="F7" s="10">
        <f>countif(I19:I29,"Not Executed")</f>
        <v>0</v>
      </c>
      <c r="G7" s="12" t="s">
        <v>11</v>
      </c>
      <c r="H7" s="10">
        <f>countif(H31:H43,"Not Executed")</f>
        <v>2</v>
      </c>
      <c r="I7" s="12" t="s">
        <v>11</v>
      </c>
      <c r="J7" s="10">
        <f>countif(I31:I43,"Not Executed")</f>
        <v>2</v>
      </c>
      <c r="K7" s="12" t="s">
        <v>11</v>
      </c>
      <c r="L7" s="10">
        <f>countif(J31:J43,"Not Executed")</f>
        <v>2</v>
      </c>
      <c r="M7" s="12" t="s">
        <v>11</v>
      </c>
      <c r="N7" s="10">
        <f>countif(H45:H54,"Not Executed")</f>
        <v>9</v>
      </c>
      <c r="O7" s="12" t="s">
        <v>11</v>
      </c>
      <c r="P7" s="10">
        <f>countif(I45:I54,"Not Executed")</f>
        <v>9</v>
      </c>
      <c r="Q7" s="12" t="s">
        <v>11</v>
      </c>
      <c r="R7" s="10">
        <f>countif(J45:J54,"Not Executed")</f>
        <v>9</v>
      </c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7" t="s">
        <v>12</v>
      </c>
      <c r="I16" s="7" t="s">
        <v>13</v>
      </c>
      <c r="J16" s="7" t="s">
        <v>14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4" t="s">
        <v>15</v>
      </c>
      <c r="B17" s="14" t="s">
        <v>16</v>
      </c>
      <c r="C17" s="14" t="s">
        <v>17</v>
      </c>
      <c r="D17" s="14" t="s">
        <v>18</v>
      </c>
      <c r="E17" s="14" t="s">
        <v>19</v>
      </c>
      <c r="F17" s="14" t="s">
        <v>20</v>
      </c>
      <c r="G17" s="14" t="s">
        <v>21</v>
      </c>
      <c r="H17" s="15" t="s">
        <v>22</v>
      </c>
      <c r="I17" s="15" t="s">
        <v>4</v>
      </c>
      <c r="J17" s="15" t="s">
        <v>4</v>
      </c>
      <c r="K17" s="14" t="s">
        <v>23</v>
      </c>
      <c r="L17" s="14" t="s">
        <v>24</v>
      </c>
      <c r="M17" s="14" t="s">
        <v>25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6" t="s">
        <v>26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3" t="s">
        <v>27</v>
      </c>
      <c r="B19" s="13" t="s">
        <v>28</v>
      </c>
      <c r="C19" s="13" t="s">
        <v>29</v>
      </c>
      <c r="D19" s="13" t="s">
        <v>30</v>
      </c>
      <c r="E19" s="13" t="s">
        <v>31</v>
      </c>
      <c r="F19" s="13" t="s">
        <v>32</v>
      </c>
      <c r="G19" s="13" t="s">
        <v>33</v>
      </c>
      <c r="H19" s="13" t="s">
        <v>9</v>
      </c>
      <c r="I19" s="13" t="s">
        <v>9</v>
      </c>
      <c r="J19" s="13" t="s">
        <v>9</v>
      </c>
      <c r="K19" s="13" t="s">
        <v>34</v>
      </c>
      <c r="L19" s="13" t="s">
        <v>35</v>
      </c>
      <c r="M19" s="18">
        <v>46114.0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3"/>
      <c r="B20" s="13" t="s">
        <v>36</v>
      </c>
      <c r="C20" s="19" t="s">
        <v>37</v>
      </c>
      <c r="D20" s="13" t="s">
        <v>38</v>
      </c>
      <c r="E20" s="13" t="s">
        <v>31</v>
      </c>
      <c r="F20" s="13" t="s">
        <v>39</v>
      </c>
      <c r="G20" s="13" t="s">
        <v>40</v>
      </c>
      <c r="H20" s="13" t="s">
        <v>9</v>
      </c>
      <c r="I20" s="13" t="s">
        <v>9</v>
      </c>
      <c r="J20" s="13" t="s">
        <v>9</v>
      </c>
      <c r="K20" s="13" t="s">
        <v>34</v>
      </c>
      <c r="L20" s="13" t="s">
        <v>35</v>
      </c>
      <c r="M20" s="18">
        <v>46114.0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3"/>
      <c r="B21" s="13" t="s">
        <v>41</v>
      </c>
      <c r="C21" s="19" t="s">
        <v>42</v>
      </c>
      <c r="D21" s="13" t="s">
        <v>43</v>
      </c>
      <c r="E21" s="13" t="s">
        <v>31</v>
      </c>
      <c r="F21" s="13" t="s">
        <v>44</v>
      </c>
      <c r="G21" s="13" t="s">
        <v>45</v>
      </c>
      <c r="H21" s="13" t="s">
        <v>9</v>
      </c>
      <c r="I21" s="13" t="s">
        <v>9</v>
      </c>
      <c r="J21" s="13" t="s">
        <v>9</v>
      </c>
      <c r="K21" s="13" t="s">
        <v>34</v>
      </c>
      <c r="L21" s="13" t="s">
        <v>35</v>
      </c>
      <c r="M21" s="18">
        <v>46114.0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3"/>
      <c r="B22" s="13" t="s">
        <v>46</v>
      </c>
      <c r="C22" s="19" t="s">
        <v>47</v>
      </c>
      <c r="D22" s="13" t="s">
        <v>43</v>
      </c>
      <c r="E22" s="13" t="s">
        <v>31</v>
      </c>
      <c r="F22" s="13" t="s">
        <v>39</v>
      </c>
      <c r="G22" s="13" t="s">
        <v>48</v>
      </c>
      <c r="H22" s="13" t="s">
        <v>9</v>
      </c>
      <c r="I22" s="13" t="s">
        <v>9</v>
      </c>
      <c r="J22" s="13" t="s">
        <v>9</v>
      </c>
      <c r="K22" s="13" t="s">
        <v>34</v>
      </c>
      <c r="L22" s="13" t="s">
        <v>35</v>
      </c>
      <c r="M22" s="18">
        <v>46114.0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3"/>
      <c r="B23" s="13" t="s">
        <v>49</v>
      </c>
      <c r="C23" s="13" t="s">
        <v>50</v>
      </c>
      <c r="D23" s="13" t="s">
        <v>51</v>
      </c>
      <c r="E23" s="13" t="s">
        <v>31</v>
      </c>
      <c r="F23" s="13" t="s">
        <v>52</v>
      </c>
      <c r="G23" s="13" t="s">
        <v>53</v>
      </c>
      <c r="H23" s="13" t="s">
        <v>9</v>
      </c>
      <c r="I23" s="13" t="s">
        <v>9</v>
      </c>
      <c r="J23" s="13" t="s">
        <v>9</v>
      </c>
      <c r="K23" s="13" t="s">
        <v>34</v>
      </c>
      <c r="L23" s="13" t="s">
        <v>35</v>
      </c>
      <c r="M23" s="18">
        <v>46114.0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3"/>
      <c r="B24" s="13" t="s">
        <v>54</v>
      </c>
      <c r="C24" s="13" t="s">
        <v>55</v>
      </c>
      <c r="D24" s="13" t="s">
        <v>56</v>
      </c>
      <c r="E24" s="13" t="s">
        <v>31</v>
      </c>
      <c r="F24" s="13" t="s">
        <v>57</v>
      </c>
      <c r="G24" s="13" t="s">
        <v>58</v>
      </c>
      <c r="H24" s="13" t="s">
        <v>9</v>
      </c>
      <c r="I24" s="13" t="s">
        <v>9</v>
      </c>
      <c r="J24" s="13" t="s">
        <v>9</v>
      </c>
      <c r="K24" s="13" t="s">
        <v>34</v>
      </c>
      <c r="L24" s="13" t="s">
        <v>35</v>
      </c>
      <c r="M24" s="18">
        <v>46114.0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3"/>
      <c r="B25" s="13" t="s">
        <v>59</v>
      </c>
      <c r="C25" s="13" t="s">
        <v>60</v>
      </c>
      <c r="D25" s="13" t="s">
        <v>61</v>
      </c>
      <c r="E25" s="13" t="s">
        <v>31</v>
      </c>
      <c r="F25" s="13" t="s">
        <v>62</v>
      </c>
      <c r="G25" s="13" t="s">
        <v>63</v>
      </c>
      <c r="H25" s="13" t="s">
        <v>9</v>
      </c>
      <c r="I25" s="13" t="s">
        <v>9</v>
      </c>
      <c r="J25" s="13" t="s">
        <v>9</v>
      </c>
      <c r="K25" s="13" t="s">
        <v>34</v>
      </c>
      <c r="L25" s="13" t="s">
        <v>35</v>
      </c>
      <c r="M25" s="18">
        <v>46114.0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3"/>
      <c r="B26" s="13" t="s">
        <v>64</v>
      </c>
      <c r="C26" s="13" t="s">
        <v>65</v>
      </c>
      <c r="D26" s="13" t="s">
        <v>66</v>
      </c>
      <c r="E26" s="13" t="s">
        <v>31</v>
      </c>
      <c r="F26" s="13" t="s">
        <v>67</v>
      </c>
      <c r="G26" s="13" t="s">
        <v>68</v>
      </c>
      <c r="H26" s="13" t="s">
        <v>9</v>
      </c>
      <c r="I26" s="13" t="s">
        <v>9</v>
      </c>
      <c r="J26" s="13" t="s">
        <v>9</v>
      </c>
      <c r="K26" s="13" t="s">
        <v>34</v>
      </c>
      <c r="L26" s="13" t="s">
        <v>35</v>
      </c>
      <c r="M26" s="18">
        <v>46114.0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3"/>
      <c r="B27" s="13" t="s">
        <v>69</v>
      </c>
      <c r="C27" s="13" t="s">
        <v>70</v>
      </c>
      <c r="D27" s="13" t="s">
        <v>71</v>
      </c>
      <c r="E27" s="13" t="s">
        <v>31</v>
      </c>
      <c r="F27" s="13" t="s">
        <v>72</v>
      </c>
      <c r="G27" s="13" t="s">
        <v>73</v>
      </c>
      <c r="H27" s="13" t="s">
        <v>9</v>
      </c>
      <c r="I27" s="13" t="s">
        <v>9</v>
      </c>
      <c r="J27" s="13" t="s">
        <v>9</v>
      </c>
      <c r="K27" s="13" t="s">
        <v>34</v>
      </c>
      <c r="L27" s="13" t="s">
        <v>35</v>
      </c>
      <c r="M27" s="18">
        <v>46114.0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3"/>
      <c r="B28" s="13" t="s">
        <v>74</v>
      </c>
      <c r="C28" s="13" t="s">
        <v>75</v>
      </c>
      <c r="D28" s="13" t="s">
        <v>76</v>
      </c>
      <c r="E28" s="13" t="s">
        <v>31</v>
      </c>
      <c r="F28" s="13" t="s">
        <v>77</v>
      </c>
      <c r="G28" s="13" t="s">
        <v>78</v>
      </c>
      <c r="H28" s="13" t="s">
        <v>9</v>
      </c>
      <c r="I28" s="13" t="s">
        <v>9</v>
      </c>
      <c r="J28" s="13" t="s">
        <v>9</v>
      </c>
      <c r="K28" s="13" t="s">
        <v>34</v>
      </c>
      <c r="L28" s="13" t="s">
        <v>35</v>
      </c>
      <c r="M28" s="18">
        <v>46114.0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3"/>
      <c r="B29" s="13" t="s">
        <v>79</v>
      </c>
      <c r="C29" s="13" t="s">
        <v>80</v>
      </c>
      <c r="D29" s="13" t="s">
        <v>81</v>
      </c>
      <c r="E29" s="13" t="s">
        <v>31</v>
      </c>
      <c r="F29" s="13" t="s">
        <v>82</v>
      </c>
      <c r="G29" s="13" t="s">
        <v>83</v>
      </c>
      <c r="H29" s="20" t="s">
        <v>10</v>
      </c>
      <c r="I29" s="20" t="s">
        <v>10</v>
      </c>
      <c r="J29" s="20" t="s">
        <v>10</v>
      </c>
      <c r="K29" s="13" t="s">
        <v>34</v>
      </c>
      <c r="L29" s="13" t="s">
        <v>35</v>
      </c>
      <c r="M29" s="18">
        <v>46114.0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6" t="s">
        <v>84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3" t="s">
        <v>85</v>
      </c>
      <c r="B31" s="13" t="s">
        <v>86</v>
      </c>
      <c r="C31" s="19" t="s">
        <v>87</v>
      </c>
      <c r="D31" s="13" t="s">
        <v>88</v>
      </c>
      <c r="E31" s="13" t="s">
        <v>31</v>
      </c>
      <c r="F31" s="13" t="s">
        <v>89</v>
      </c>
      <c r="G31" s="13" t="s">
        <v>90</v>
      </c>
      <c r="H31" s="13" t="s">
        <v>9</v>
      </c>
      <c r="I31" s="13" t="s">
        <v>9</v>
      </c>
      <c r="J31" s="13" t="s">
        <v>9</v>
      </c>
      <c r="K31" s="13" t="s">
        <v>34</v>
      </c>
      <c r="L31" s="13" t="s">
        <v>35</v>
      </c>
      <c r="M31" s="18">
        <v>46114.0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3" t="s">
        <v>91</v>
      </c>
      <c r="C32" s="19" t="s">
        <v>92</v>
      </c>
      <c r="D32" s="13" t="s">
        <v>93</v>
      </c>
      <c r="E32" s="13" t="s">
        <v>31</v>
      </c>
      <c r="F32" s="13" t="s">
        <v>94</v>
      </c>
      <c r="G32" s="13" t="s">
        <v>95</v>
      </c>
      <c r="H32" s="13" t="s">
        <v>9</v>
      </c>
      <c r="I32" s="13" t="s">
        <v>9</v>
      </c>
      <c r="J32" s="13" t="s">
        <v>9</v>
      </c>
      <c r="K32" s="13" t="s">
        <v>34</v>
      </c>
      <c r="L32" s="13" t="s">
        <v>35</v>
      </c>
      <c r="M32" s="18">
        <v>46114.0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3" t="s">
        <v>96</v>
      </c>
      <c r="C33" s="19" t="s">
        <v>97</v>
      </c>
      <c r="D33" s="13" t="s">
        <v>98</v>
      </c>
      <c r="E33" s="13" t="s">
        <v>31</v>
      </c>
      <c r="F33" s="13" t="s">
        <v>99</v>
      </c>
      <c r="G33" s="13" t="s">
        <v>100</v>
      </c>
      <c r="H33" s="13" t="s">
        <v>9</v>
      </c>
      <c r="I33" s="13" t="s">
        <v>9</v>
      </c>
      <c r="J33" s="13" t="s">
        <v>9</v>
      </c>
      <c r="K33" s="13" t="s">
        <v>34</v>
      </c>
      <c r="L33" s="13" t="s">
        <v>35</v>
      </c>
      <c r="M33" s="18">
        <v>46114.0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3" t="s">
        <v>101</v>
      </c>
      <c r="C34" s="19" t="s">
        <v>102</v>
      </c>
      <c r="D34" s="13" t="s">
        <v>103</v>
      </c>
      <c r="E34" s="13" t="s">
        <v>31</v>
      </c>
      <c r="F34" s="13" t="s">
        <v>104</v>
      </c>
      <c r="G34" s="13" t="s">
        <v>105</v>
      </c>
      <c r="H34" s="13" t="s">
        <v>9</v>
      </c>
      <c r="I34" s="13" t="s">
        <v>9</v>
      </c>
      <c r="J34" s="13" t="s">
        <v>9</v>
      </c>
      <c r="K34" s="13" t="s">
        <v>34</v>
      </c>
      <c r="L34" s="13" t="s">
        <v>35</v>
      </c>
      <c r="M34" s="18">
        <v>46114.0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3" t="s">
        <v>106</v>
      </c>
      <c r="C35" s="19" t="s">
        <v>107</v>
      </c>
      <c r="D35" s="13" t="s">
        <v>108</v>
      </c>
      <c r="E35" s="13" t="s">
        <v>31</v>
      </c>
      <c r="F35" s="13" t="s">
        <v>109</v>
      </c>
      <c r="G35" s="13" t="s">
        <v>110</v>
      </c>
      <c r="H35" s="13" t="s">
        <v>9</v>
      </c>
      <c r="I35" s="13" t="s">
        <v>9</v>
      </c>
      <c r="J35" s="13" t="s">
        <v>9</v>
      </c>
      <c r="K35" s="13" t="s">
        <v>34</v>
      </c>
      <c r="L35" s="13" t="s">
        <v>35</v>
      </c>
      <c r="M35" s="18">
        <v>46114.0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3" t="s">
        <v>111</v>
      </c>
      <c r="C36" s="19" t="s">
        <v>112</v>
      </c>
      <c r="D36" s="13" t="s">
        <v>113</v>
      </c>
      <c r="E36" s="13" t="s">
        <v>31</v>
      </c>
      <c r="F36" s="13" t="s">
        <v>114</v>
      </c>
      <c r="G36" s="13" t="s">
        <v>115</v>
      </c>
      <c r="H36" s="13" t="s">
        <v>9</v>
      </c>
      <c r="I36" s="13" t="s">
        <v>9</v>
      </c>
      <c r="J36" s="13" t="s">
        <v>9</v>
      </c>
      <c r="K36" s="13" t="s">
        <v>34</v>
      </c>
      <c r="L36" s="13" t="s">
        <v>35</v>
      </c>
      <c r="M36" s="18">
        <v>46114.0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3" t="s">
        <v>116</v>
      </c>
      <c r="C37" s="19" t="s">
        <v>117</v>
      </c>
      <c r="D37" s="13" t="s">
        <v>118</v>
      </c>
      <c r="E37" s="13" t="s">
        <v>31</v>
      </c>
      <c r="F37" s="13" t="s">
        <v>119</v>
      </c>
      <c r="G37" s="13" t="s">
        <v>120</v>
      </c>
      <c r="H37" s="13" t="s">
        <v>9</v>
      </c>
      <c r="I37" s="13" t="s">
        <v>9</v>
      </c>
      <c r="J37" s="13" t="s">
        <v>9</v>
      </c>
      <c r="K37" s="13" t="s">
        <v>34</v>
      </c>
      <c r="L37" s="13" t="s">
        <v>35</v>
      </c>
      <c r="M37" s="18">
        <v>46114.0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3" t="s">
        <v>121</v>
      </c>
      <c r="C38" s="13" t="s">
        <v>122</v>
      </c>
      <c r="D38" s="13" t="s">
        <v>123</v>
      </c>
      <c r="E38" s="13" t="s">
        <v>31</v>
      </c>
      <c r="F38" s="13" t="s">
        <v>124</v>
      </c>
      <c r="G38" s="13" t="s">
        <v>125</v>
      </c>
      <c r="H38" s="13" t="s">
        <v>9</v>
      </c>
      <c r="I38" s="13" t="s">
        <v>9</v>
      </c>
      <c r="J38" s="13" t="s">
        <v>9</v>
      </c>
      <c r="K38" s="13" t="s">
        <v>34</v>
      </c>
      <c r="L38" s="13" t="s">
        <v>35</v>
      </c>
      <c r="M38" s="18">
        <v>46114.0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3" t="s">
        <v>126</v>
      </c>
      <c r="C39" s="13" t="s">
        <v>127</v>
      </c>
      <c r="D39" s="13" t="s">
        <v>128</v>
      </c>
      <c r="E39" s="13" t="s">
        <v>31</v>
      </c>
      <c r="F39" s="13" t="s">
        <v>129</v>
      </c>
      <c r="G39" s="13" t="s">
        <v>130</v>
      </c>
      <c r="H39" s="13" t="s">
        <v>9</v>
      </c>
      <c r="I39" s="13" t="s">
        <v>9</v>
      </c>
      <c r="J39" s="13" t="s">
        <v>9</v>
      </c>
      <c r="K39" s="13" t="s">
        <v>34</v>
      </c>
      <c r="L39" s="13" t="s">
        <v>35</v>
      </c>
      <c r="M39" s="18">
        <v>46114.0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3" t="s">
        <v>131</v>
      </c>
      <c r="C40" s="13" t="s">
        <v>132</v>
      </c>
      <c r="D40" s="13" t="s">
        <v>133</v>
      </c>
      <c r="E40" s="13" t="s">
        <v>31</v>
      </c>
      <c r="F40" s="13" t="s">
        <v>134</v>
      </c>
      <c r="G40" s="13" t="s">
        <v>135</v>
      </c>
      <c r="H40" s="13" t="s">
        <v>9</v>
      </c>
      <c r="I40" s="13" t="s">
        <v>9</v>
      </c>
      <c r="J40" s="13" t="s">
        <v>9</v>
      </c>
      <c r="K40" s="13" t="s">
        <v>34</v>
      </c>
      <c r="L40" s="13" t="s">
        <v>35</v>
      </c>
      <c r="M40" s="18">
        <v>46114.0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3" t="s">
        <v>136</v>
      </c>
      <c r="C41" s="13" t="s">
        <v>137</v>
      </c>
      <c r="D41" s="13" t="s">
        <v>138</v>
      </c>
      <c r="E41" s="13" t="s">
        <v>31</v>
      </c>
      <c r="F41" s="13" t="s">
        <v>139</v>
      </c>
      <c r="G41" s="1"/>
      <c r="H41" s="20" t="s">
        <v>11</v>
      </c>
      <c r="I41" s="20" t="s">
        <v>11</v>
      </c>
      <c r="J41" s="20" t="s">
        <v>11</v>
      </c>
      <c r="K41" s="13" t="s">
        <v>140</v>
      </c>
      <c r="L41" s="13" t="s">
        <v>35</v>
      </c>
      <c r="M41" s="18">
        <v>46114.0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3" t="s">
        <v>141</v>
      </c>
      <c r="C42" s="13" t="s">
        <v>142</v>
      </c>
      <c r="D42" s="13" t="s">
        <v>143</v>
      </c>
      <c r="E42" s="13" t="s">
        <v>144</v>
      </c>
      <c r="F42" s="13" t="s">
        <v>145</v>
      </c>
      <c r="G42" s="1"/>
      <c r="H42" s="20" t="s">
        <v>11</v>
      </c>
      <c r="I42" s="20" t="s">
        <v>11</v>
      </c>
      <c r="J42" s="20" t="s">
        <v>11</v>
      </c>
      <c r="K42" s="13" t="s">
        <v>146</v>
      </c>
      <c r="L42" s="13" t="s">
        <v>35</v>
      </c>
      <c r="M42" s="18">
        <v>46114.0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3" t="s">
        <v>147</v>
      </c>
      <c r="C43" s="13" t="s">
        <v>148</v>
      </c>
      <c r="D43" s="13" t="s">
        <v>149</v>
      </c>
      <c r="E43" s="13" t="s">
        <v>144</v>
      </c>
      <c r="F43" s="13" t="s">
        <v>150</v>
      </c>
      <c r="G43" s="13" t="s">
        <v>151</v>
      </c>
      <c r="H43" s="20" t="s">
        <v>10</v>
      </c>
      <c r="I43" s="20" t="s">
        <v>10</v>
      </c>
      <c r="J43" s="20" t="s">
        <v>10</v>
      </c>
      <c r="K43" s="13" t="s">
        <v>152</v>
      </c>
      <c r="L43" s="13" t="s">
        <v>35</v>
      </c>
      <c r="M43" s="18">
        <v>46114.0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6" t="s">
        <v>153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3" t="s">
        <v>85</v>
      </c>
      <c r="B45" s="13" t="s">
        <v>86</v>
      </c>
      <c r="C45" s="13" t="s">
        <v>154</v>
      </c>
      <c r="D45" s="13" t="s">
        <v>155</v>
      </c>
      <c r="E45" s="13" t="s">
        <v>156</v>
      </c>
      <c r="F45" s="13" t="s">
        <v>157</v>
      </c>
      <c r="G45" s="13" t="s">
        <v>158</v>
      </c>
      <c r="H45" s="13" t="s">
        <v>159</v>
      </c>
      <c r="I45" s="13" t="s">
        <v>159</v>
      </c>
      <c r="J45" s="13" t="s">
        <v>159</v>
      </c>
      <c r="K45" s="13" t="s">
        <v>34</v>
      </c>
      <c r="L45" s="13" t="s">
        <v>35</v>
      </c>
      <c r="M45" s="18">
        <v>46114.0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3" t="s">
        <v>91</v>
      </c>
      <c r="C46" s="13" t="s">
        <v>160</v>
      </c>
      <c r="D46" s="13" t="s">
        <v>155</v>
      </c>
      <c r="E46" s="13" t="s">
        <v>156</v>
      </c>
      <c r="F46" s="13" t="s">
        <v>161</v>
      </c>
      <c r="G46" s="1"/>
      <c r="H46" s="13" t="s">
        <v>11</v>
      </c>
      <c r="I46" s="13" t="s">
        <v>11</v>
      </c>
      <c r="J46" s="13" t="s">
        <v>11</v>
      </c>
      <c r="K46" s="13" t="s">
        <v>146</v>
      </c>
      <c r="L46" s="13" t="s">
        <v>35</v>
      </c>
      <c r="M46" s="18">
        <v>46114.0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3" t="s">
        <v>96</v>
      </c>
      <c r="C47" s="13" t="s">
        <v>162</v>
      </c>
      <c r="D47" s="13" t="s">
        <v>155</v>
      </c>
      <c r="E47" s="13" t="s">
        <v>156</v>
      </c>
      <c r="F47" s="13" t="s">
        <v>163</v>
      </c>
      <c r="G47" s="1"/>
      <c r="H47" s="13" t="s">
        <v>11</v>
      </c>
      <c r="I47" s="13" t="s">
        <v>11</v>
      </c>
      <c r="J47" s="13" t="s">
        <v>11</v>
      </c>
      <c r="K47" s="13" t="s">
        <v>146</v>
      </c>
      <c r="L47" s="13" t="s">
        <v>35</v>
      </c>
      <c r="M47" s="18">
        <v>46114.0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3" t="s">
        <v>101</v>
      </c>
      <c r="C48" s="13" t="s">
        <v>164</v>
      </c>
      <c r="D48" s="13" t="s">
        <v>155</v>
      </c>
      <c r="E48" s="13" t="s">
        <v>156</v>
      </c>
      <c r="F48" s="13" t="s">
        <v>165</v>
      </c>
      <c r="G48" s="1"/>
      <c r="H48" s="13" t="s">
        <v>11</v>
      </c>
      <c r="I48" s="13" t="s">
        <v>11</v>
      </c>
      <c r="J48" s="13" t="s">
        <v>11</v>
      </c>
      <c r="K48" s="13" t="s">
        <v>146</v>
      </c>
      <c r="L48" s="13" t="s">
        <v>35</v>
      </c>
      <c r="M48" s="18">
        <v>46114.0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3" t="s">
        <v>106</v>
      </c>
      <c r="C49" s="13" t="s">
        <v>166</v>
      </c>
      <c r="D49" s="13" t="s">
        <v>155</v>
      </c>
      <c r="E49" s="13" t="s">
        <v>156</v>
      </c>
      <c r="F49" s="13" t="s">
        <v>167</v>
      </c>
      <c r="G49" s="1"/>
      <c r="H49" s="13" t="s">
        <v>11</v>
      </c>
      <c r="I49" s="13" t="s">
        <v>11</v>
      </c>
      <c r="J49" s="13" t="s">
        <v>11</v>
      </c>
      <c r="K49" s="13" t="s">
        <v>146</v>
      </c>
      <c r="L49" s="13" t="s">
        <v>35</v>
      </c>
      <c r="M49" s="18">
        <v>46114.0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3" t="s">
        <v>111</v>
      </c>
      <c r="C50" s="13" t="s">
        <v>168</v>
      </c>
      <c r="D50" s="13" t="s">
        <v>155</v>
      </c>
      <c r="E50" s="13" t="s">
        <v>156</v>
      </c>
      <c r="F50" s="13" t="s">
        <v>169</v>
      </c>
      <c r="G50" s="1"/>
      <c r="H50" s="13" t="s">
        <v>11</v>
      </c>
      <c r="I50" s="13" t="s">
        <v>11</v>
      </c>
      <c r="J50" s="13" t="s">
        <v>11</v>
      </c>
      <c r="K50" s="13" t="s">
        <v>146</v>
      </c>
      <c r="L50" s="13" t="s">
        <v>35</v>
      </c>
      <c r="M50" s="18">
        <v>46114.0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3" t="s">
        <v>116</v>
      </c>
      <c r="C51" s="13" t="s">
        <v>170</v>
      </c>
      <c r="D51" s="13" t="s">
        <v>155</v>
      </c>
      <c r="E51" s="13" t="s">
        <v>156</v>
      </c>
      <c r="F51" s="13" t="s">
        <v>171</v>
      </c>
      <c r="G51" s="1"/>
      <c r="H51" s="13" t="s">
        <v>11</v>
      </c>
      <c r="I51" s="13" t="s">
        <v>11</v>
      </c>
      <c r="J51" s="13" t="s">
        <v>11</v>
      </c>
      <c r="K51" s="13" t="s">
        <v>146</v>
      </c>
      <c r="L51" s="13" t="s">
        <v>35</v>
      </c>
      <c r="M51" s="18">
        <v>46114.0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3" t="s">
        <v>121</v>
      </c>
      <c r="C52" s="13" t="s">
        <v>172</v>
      </c>
      <c r="D52" s="13" t="s">
        <v>155</v>
      </c>
      <c r="E52" s="13" t="s">
        <v>156</v>
      </c>
      <c r="F52" s="13" t="s">
        <v>173</v>
      </c>
      <c r="G52" s="1"/>
      <c r="H52" s="13" t="s">
        <v>11</v>
      </c>
      <c r="I52" s="13" t="s">
        <v>11</v>
      </c>
      <c r="J52" s="13" t="s">
        <v>11</v>
      </c>
      <c r="K52" s="13" t="s">
        <v>146</v>
      </c>
      <c r="L52" s="13" t="s">
        <v>35</v>
      </c>
      <c r="M52" s="18">
        <v>46114.0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3" t="s">
        <v>126</v>
      </c>
      <c r="C53" s="13" t="s">
        <v>174</v>
      </c>
      <c r="D53" s="13" t="s">
        <v>175</v>
      </c>
      <c r="E53" s="13" t="s">
        <v>156</v>
      </c>
      <c r="F53" s="13" t="s">
        <v>176</v>
      </c>
      <c r="G53" s="1"/>
      <c r="H53" s="13" t="s">
        <v>11</v>
      </c>
      <c r="I53" s="13" t="s">
        <v>11</v>
      </c>
      <c r="J53" s="13" t="s">
        <v>11</v>
      </c>
      <c r="K53" s="13" t="s">
        <v>146</v>
      </c>
      <c r="L53" s="13" t="s">
        <v>35</v>
      </c>
      <c r="M53" s="18">
        <v>46114.0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3" t="s">
        <v>131</v>
      </c>
      <c r="C54" s="13" t="s">
        <v>177</v>
      </c>
      <c r="D54" s="13" t="s">
        <v>178</v>
      </c>
      <c r="E54" s="13" t="s">
        <v>156</v>
      </c>
      <c r="F54" s="13" t="s">
        <v>179</v>
      </c>
      <c r="G54" s="1"/>
      <c r="H54" s="13" t="s">
        <v>11</v>
      </c>
      <c r="I54" s="13" t="s">
        <v>11</v>
      </c>
      <c r="J54" s="13" t="s">
        <v>11</v>
      </c>
      <c r="K54" s="13" t="s">
        <v>146</v>
      </c>
      <c r="L54" s="13" t="s">
        <v>35</v>
      </c>
      <c r="M54" s="18">
        <v>46114.0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3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3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3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</sheetData>
  <mergeCells count="3">
    <mergeCell ref="A2:F2"/>
    <mergeCell ref="G2:L2"/>
    <mergeCell ref="M2:R2"/>
  </mergeCells>
  <conditionalFormatting sqref="C20:C22 C31:C40">
    <cfRule type="containsText" dxfId="0" priority="1" operator="containsText" text="cannot">
      <formula>NOT(ISERROR(SEARCH(("cannot"),(C20))))</formula>
    </cfRule>
  </conditionalFormatting>
  <conditionalFormatting sqref="H19:J29 H31:J43 H45:J54">
    <cfRule type="containsText" dxfId="1" priority="2" operator="containsText" text="passed">
      <formula>NOT(ISERROR(SEARCH(("passed"),(H19))))</formula>
    </cfRule>
  </conditionalFormatting>
  <conditionalFormatting sqref="H19:J29 H31:J43 H45:J54">
    <cfRule type="containsText" dxfId="2" priority="3" operator="containsText" text="Failed">
      <formula>NOT(ISERROR(SEARCH(("Failed"),(H19))))</formula>
    </cfRule>
  </conditionalFormatting>
  <conditionalFormatting sqref="H19:J29 H31:J43 H45:J54">
    <cfRule type="containsText" dxfId="3" priority="4" operator="containsText" text="Not Executed">
      <formula>NOT(ISERROR(SEARCH(("Not Executed"),(H19))))</formula>
    </cfRule>
  </conditionalFormatting>
  <drawing r:id="rId1"/>
</worksheet>
</file>